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nke\Projects\comact-runsetup-translator\tests\fixtures\ash_2026-05-06\"/>
    </mc:Choice>
  </mc:AlternateContent>
  <xr:revisionPtr revIDLastSave="0" documentId="8_{E73C3A83-147E-489D-8E29-AD382F528C4E}" xr6:coauthVersionLast="47" xr6:coauthVersionMax="47" xr10:uidLastSave="{00000000-0000-0000-0000-000000000000}"/>
  <bookViews>
    <workbookView xWindow="5445" yWindow="480" windowWidth="22500" windowHeight="1539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G5" i="1" s="1"/>
  <c r="A31" i="1" a="1"/>
  <c r="A31" i="1" s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<sst xmlns="http://schemas.openxmlformats.org/spreadsheetml/2006/main" count="283" uniqueCount="181">
  <si>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</si>
  <si>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</si>
  <si>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</si>
  <si>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</si>
  <si>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</si>
  <si>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</si>
  <si>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</si>
  <si>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</si>
  <si>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</si>
  <si>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</si>
  <si>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</si>
  <si>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</si>
  <si>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</si>
  <si>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</si>
  <si>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</si>
  <si>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</si>
  <si>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</si>
  <si>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</si>
  <si>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</si>
  <si>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</si>
  <si>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</si>
  <si>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</si>
  <si>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</si>
  <si>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</si>
  <si>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</si>
  <si>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</si>
  <si>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</si>
  <si>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</si>
  <si>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</si>
  <si>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</si>
  <si>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</si>
  <si>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</si>
  <si>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</si>
  <si>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</si>
  <si>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</si>
  <si>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</si>
  <si>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</si>
  <si>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</si>
  <si>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</si>
  <si>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</si>
  <si>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</si>
  <si>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</si>
  <si>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</si>
  <si>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</si>
  <si>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</si>
  <si>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</si>
  <si>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</si>
  <si>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</si>
  <si>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</si>
  <si>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</si>
  <si>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</si>
  <si>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</si>
  <si>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</si>
  <si>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</si>
  <si>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</si>
  <si>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</si>
  <si>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</si>
  <si>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</si>
  <si>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</si>
  <si>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</si>
  <si>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</si>
  <si>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</si>
  <si>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</si>
  <si>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</si>
  <si>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</si>
  <si>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</si>
  <si>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</si>
  <si>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</si>
  <si>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</si>
  <si>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</si>
  <si>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</si>
  <si>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</si>
  <si>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</si>
  <si>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</si>
  <si>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</si>
  <si>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</si>
  <si>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</si>
  <si>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</si>
  <si>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</si>
  <si>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</si>
  <si>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</si>
  <si>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</si>
  <si>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</si>
  <si>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</si>
  <si>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</si>
  <si>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</si>
  <si>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</si>
  <si>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</si>
  <si>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</si>
  <si>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</si>
  <si>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</si>
  <si>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</si>
  <si>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</si>
  <si>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</si>
  <si>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</si>
  <si>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</si>
  <si>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</si>
  <si>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</si>
  <si>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</si>
  <si>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</si>
  <si>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</si>
  <si>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</si>
  <si>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</si>
  <si>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</si>
  <si>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</si>
  <si>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</si>
  <si>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</si>
  <si>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</si>
  <si>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</si>
  <si>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</si>
  <si>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</si>
  <si>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</si>
  <si>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</si>
  <si>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</si>
  <si>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</si>
  <si>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</si>
  <si>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</si>
  <si>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</si>
  <si>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</si>
  <si>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</si>
  <si>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</si>
  <si>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</si>
  <si>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</si>
  <si>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</si>
  <si>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</si>
  <si>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</si>
  <si>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</si>
  <si>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</si>
  <si>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</si>
  <si>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</si>
  <si>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</si>
  <si>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</si>
  <si>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</si>
  <si>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</si>
  <si>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</si>
  <si>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</si>
  <si>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</si>
  <si>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</si>
  <si>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</si>
  <si>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</si>
  <si>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</si>
  <si>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</si>
  <si>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</si>
  <si>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</si>
  <si>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</si>
  <si>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</si>
  <si>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</si>
  <si>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</si>
  <si>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</si>
  <si>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</si>
  <si>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</si>
  <si>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</si>
  <si>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</si>
  <si>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</si>
  <si>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</si>
  <si>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</si>
  <si>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</si>
  <si>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</si>
  <si>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</si>
  <si>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</si>
  <si>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</si>
  <si>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</si>
  <si>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</si>
  <si>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</si>
  <si>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</si>
  <si>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</si>
  <si>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</si>
  <si>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</si>
  <si>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</si>
  <si>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</si>
  <si>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</si>
  <si>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</si>
  <si>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</si>
  <si>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</si>
  <si>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Cayuta</t>
  </si>
  <si>
    <t>Green</t>
  </si>
  <si>
    <t>NO</t>
  </si>
  <si>
    <t>will allow a handful of whoops 1com</t>
  </si>
  <si>
    <t>will allow a handful of  7' cutbacks</t>
  </si>
  <si>
    <t xml:space="preserve">all 3b --all sound pallet -- wormy &amp; dingy here </t>
  </si>
  <si>
    <t>100 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</si>
</sst>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topLeftCell="A54" zoomScale="80" zoomScaleNormal="80" zoomScaleSheetLayoutView="70" workbookViewId="0">
      <selection activeCell="F59" sqref="F59:M59"/>
    </sheetView>
  </sheetViews>
  <sheetFormatPr defaultColWidth="8.85546875" defaultRowHeight="21" x14ac:dyDescent="0.35"/>
  <cols>
    <col min="1" max="1" width="18.28515625" style="5" bestFit="1" customWidth="1"/>
    <col min="2" max="2" width="15.28515625" style="5" bestFit="1" customWidth="1"/>
    <col min="3" max="3" width="8.5703125" style="5" bestFit="1" customWidth="1"/>
    <col min="4" max="4" width="20.7109375" style="5" bestFit="1" customWidth="1"/>
    <col min="5" max="5" width="16.42578125" style="5" bestFit="1" customWidth="1"/>
    <col min="6" max="6" width="9.5703125" style="5" bestFit="1" customWidth="1"/>
    <col min="7" max="7" width="15.5703125" style="5" bestFit="1" customWidth="1"/>
    <col min="8" max="8" width="16.28515625" style="5" bestFit="1" customWidth="1"/>
    <col min="9" max="9" width="17.42578125" style="5" bestFit="1" customWidth="1"/>
    <col min="10" max="10" width="16.85546875" style="5" bestFit="1" customWidth="1"/>
    <col min="11" max="11" width="12.42578125" style="6" bestFit="1" customWidth="1"/>
    <col min="12" max="12" width="52.85546875" style="5" bestFit="1" customWidth="1"/>
    <col min="13" max="13" width="11.42578125" style="5" bestFit="1" customWidth="1"/>
    <col min="14" max="16384" width="8.85546875" style="3"/>
  </cols>
  <sheetData>
    <row r="1" spans="1:13" ht="22.15" customHeight="1" thickTop="1" thickBot="1" x14ac:dyDescent="0.4">
      <c r="A1" s="4" t="s">
        <v>115</v>
      </c>
      <c r="B1" s="46">
        <v>46148</v>
      </c>
      <c r="C1" s="47"/>
      <c r="E1" s="49" t="s">
        <v>116</v>
      </c>
      <c r="F1" s="50"/>
      <c r="G1" s="50"/>
      <c r="H1" s="50"/>
      <c r="I1" s="51"/>
    </row>
    <row r="2" spans="1:13" ht="19.5" customHeight="1" thickTop="1" thickBot="1" x14ac:dyDescent="0.4">
      <c r="A2" s="4" t="s">
        <v>114</v>
      </c>
      <c r="B2" s="48" t="s">
        <v>180</v>
      </c>
      <c r="C2" s="47"/>
      <c r="E2" s="60" t="s">
        <v>119</v>
      </c>
      <c r="F2" s="61"/>
      <c r="G2" s="61"/>
      <c r="H2" s="61"/>
      <c r="I2" s="62"/>
    </row>
    <row r="3" spans="1:13" ht="22.5" thickTop="1" thickBot="1" x14ac:dyDescent="0.4"/>
    <row r="4" spans="1:13" ht="21.75" thickBot="1" x14ac:dyDescent="0.4">
      <c r="A4" s="58" t="s">
        <v>7</v>
      </c>
      <c r="B4" s="59"/>
      <c r="D4" s="58" t="s">
        <v>118</v>
      </c>
      <c r="E4" s="59"/>
      <c r="G4" s="58" t="s">
        <v>117</v>
      </c>
      <c r="H4" s="59"/>
    </row>
    <row r="5" spans="1:13" ht="21.75" thickBot="1" x14ac:dyDescent="0.4">
      <c r="A5" s="7" t="s">
        <v>1</v>
      </c>
      <c r="B5" s="20">
        <v>0.78</v>
      </c>
      <c r="D5" s="7" t="s">
        <v>137</v>
      </c>
      <c r="E5" s="20">
        <v>0.5</v>
      </c>
      <c r="G5" s="8" t="str" cm="1">
        <f t="array" ref="G5:G7">IFERROR(_xlfn.UNIQUE(_xlfn._xlws.FILTER(B13:B28,B13:B28&lt;&gt;"")),"")</f>
        <v>5/4</v>
      </c>
      <c r="H5" s="21">
        <v>0.5</v>
      </c>
    </row>
    <row r="6" spans="1:13" ht="21.75" thickBot="1" x14ac:dyDescent="0.4">
      <c r="A6" s="7" t="s">
        <v>8</v>
      </c>
      <c r="B6" s="20">
        <v>0.2</v>
      </c>
      <c r="D6" s="7" t="s">
        <v>138</v>
      </c>
      <c r="E6" s="20">
        <v>0.3</v>
      </c>
      <c r="G6" s="8" t="str">
        <v>8/4</v>
      </c>
      <c r="H6" s="21">
        <v>0.4</v>
      </c>
    </row>
    <row r="7" spans="1:13" ht="21.75" thickBot="1" x14ac:dyDescent="0.4">
      <c r="A7" s="7" t="s">
        <v>9</v>
      </c>
      <c r="B7" s="20">
        <v>0.02</v>
      </c>
      <c r="D7" s="7" t="s">
        <v>139</v>
      </c>
      <c r="E7" s="20">
        <v>0.2</v>
      </c>
      <c r="F7" s="9"/>
      <c r="G7" s="8" t="str">
        <v>12/4</v>
      </c>
      <c r="H7" s="21">
        <v>0.1</v>
      </c>
    </row>
    <row r="8" spans="1:13" ht="21.75" thickBot="1" x14ac:dyDescent="0.4">
      <c r="B8" s="10"/>
      <c r="C8" s="11"/>
      <c r="E8" s="12"/>
      <c r="F8" s="11"/>
      <c r="G8" s="8"/>
      <c r="H8" s="21"/>
    </row>
    <row r="9" spans="1:13" ht="21.75" thickBot="1" x14ac:dyDescent="0.4">
      <c r="B9" s="10"/>
      <c r="C9" s="11"/>
      <c r="E9" s="10"/>
      <c r="F9" s="11"/>
      <c r="G9" s="8"/>
      <c r="H9" s="21"/>
    </row>
    <row r="10" spans="1:13" ht="9.4" customHeight="1" thickBot="1" x14ac:dyDescent="0.4">
      <c r="F10" s="10"/>
      <c r="G10" s="10"/>
      <c r="H10" s="10"/>
      <c r="I10" s="10"/>
      <c r="J10" s="10"/>
      <c r="K10" s="13"/>
    </row>
    <row r="11" spans="1:13" ht="40.15" customHeight="1" thickTop="1" thickBot="1" x14ac:dyDescent="0.4">
      <c r="A11" s="49" t="s">
        <v>1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1"/>
    </row>
    <row r="12" spans="1:13" ht="40.15" customHeight="1" thickTop="1" thickBot="1" x14ac:dyDescent="0.3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15" customHeight="1" thickTop="1" x14ac:dyDescent="0.35">
      <c r="A13" s="22" t="s">
        <v>174</v>
      </c>
      <c r="B13" s="23" t="s">
        <v>11</v>
      </c>
      <c r="C13" s="24">
        <v>3</v>
      </c>
      <c r="D13" s="24" t="s">
        <v>173</v>
      </c>
      <c r="E13" s="24" t="s">
        <v>28</v>
      </c>
      <c r="F13" s="24" t="s">
        <v>40</v>
      </c>
      <c r="G13" s="24" t="s">
        <v>50</v>
      </c>
      <c r="H13" s="24" t="s">
        <v>163</v>
      </c>
      <c r="I13" s="24" t="s">
        <v>82</v>
      </c>
      <c r="J13" s="24" t="s">
        <v>87</v>
      </c>
      <c r="K13" s="25">
        <v>1855</v>
      </c>
      <c r="L13" s="26"/>
      <c r="M13" s="27">
        <v>0.5</v>
      </c>
    </row>
    <row r="14" spans="1:13" ht="40.15" customHeight="1" x14ac:dyDescent="0.35">
      <c r="A14" s="28"/>
      <c r="B14" s="29"/>
      <c r="C14" s="30"/>
      <c r="D14" s="30"/>
      <c r="E14" s="30"/>
      <c r="F14" s="30" t="s">
        <v>42</v>
      </c>
      <c r="G14" s="30" t="s">
        <v>50</v>
      </c>
      <c r="H14" s="30" t="s">
        <v>162</v>
      </c>
      <c r="I14" s="30" t="s">
        <v>81</v>
      </c>
      <c r="J14" s="30" t="s">
        <v>87</v>
      </c>
      <c r="K14" s="31">
        <v>1005</v>
      </c>
      <c r="L14" s="32"/>
      <c r="M14" s="33"/>
    </row>
    <row r="15" spans="1:13" ht="40.15" customHeight="1" x14ac:dyDescent="0.35">
      <c r="A15" s="28"/>
      <c r="B15" s="29"/>
      <c r="C15" s="30"/>
      <c r="D15" s="30"/>
      <c r="E15" s="30"/>
      <c r="F15" s="30" t="s">
        <v>43</v>
      </c>
      <c r="G15" s="30" t="s">
        <v>50</v>
      </c>
      <c r="H15" s="30" t="s">
        <v>162</v>
      </c>
      <c r="I15" s="30" t="s">
        <v>81</v>
      </c>
      <c r="J15" s="30" t="s">
        <v>87</v>
      </c>
      <c r="K15" s="31">
        <v>580</v>
      </c>
      <c r="L15" s="32"/>
      <c r="M15" s="33"/>
    </row>
    <row r="16" spans="1:13" ht="40.15" customHeight="1" x14ac:dyDescent="0.35">
      <c r="A16" s="28" t="s">
        <v>175</v>
      </c>
      <c r="B16" s="29" t="s">
        <v>11</v>
      </c>
      <c r="C16" s="30">
        <v>3</v>
      </c>
      <c r="D16" s="30" t="s">
        <v>176</v>
      </c>
      <c r="E16" s="30" t="s">
        <v>92</v>
      </c>
      <c r="F16" s="30" t="s">
        <v>45</v>
      </c>
      <c r="G16" s="30" t="s">
        <v>50</v>
      </c>
      <c r="H16" s="30" t="s">
        <v>67</v>
      </c>
      <c r="I16" s="30" t="s">
        <v>81</v>
      </c>
      <c r="J16" s="30" t="s">
        <v>87</v>
      </c>
      <c r="K16" s="31">
        <v>300</v>
      </c>
      <c r="L16" s="32" t="s">
        <v>179</v>
      </c>
      <c r="M16" s="33"/>
    </row>
    <row r="17" spans="1:13" ht="40.15" customHeight="1" x14ac:dyDescent="0.35">
      <c r="A17" s="28"/>
      <c r="B17" s="29"/>
      <c r="C17" s="30"/>
      <c r="D17" s="30"/>
      <c r="E17" s="30"/>
      <c r="F17" s="30"/>
      <c r="G17" s="30"/>
      <c r="H17" s="30"/>
      <c r="I17" s="30"/>
      <c r="J17" s="30"/>
      <c r="K17" s="34"/>
      <c r="L17" s="32"/>
      <c r="M17" s="33"/>
    </row>
    <row r="18" spans="1:13" ht="40.15" customHeight="1" x14ac:dyDescent="0.35">
      <c r="A18" s="28" t="s">
        <v>174</v>
      </c>
      <c r="B18" s="29" t="s">
        <v>14</v>
      </c>
      <c r="C18" s="30">
        <v>3</v>
      </c>
      <c r="D18" s="30" t="s">
        <v>173</v>
      </c>
      <c r="E18" s="30" t="s">
        <v>28</v>
      </c>
      <c r="F18" s="30" t="s">
        <v>40</v>
      </c>
      <c r="G18" s="30" t="s">
        <v>50</v>
      </c>
      <c r="H18" s="30" t="s">
        <v>69</v>
      </c>
      <c r="I18" s="30" t="s">
        <v>82</v>
      </c>
      <c r="J18" s="30" t="s">
        <v>87</v>
      </c>
      <c r="K18" s="31">
        <v>1855</v>
      </c>
      <c r="L18" s="32"/>
      <c r="M18" s="33">
        <v>0.4</v>
      </c>
    </row>
    <row r="19" spans="1:13" ht="40.15" customHeight="1" x14ac:dyDescent="0.35">
      <c r="A19" s="28"/>
      <c r="B19" s="29"/>
      <c r="C19" s="30"/>
      <c r="D19" s="30"/>
      <c r="E19" s="30"/>
      <c r="F19" s="30" t="s">
        <v>42</v>
      </c>
      <c r="G19" s="30" t="s">
        <v>50</v>
      </c>
      <c r="H19" s="30" t="s">
        <v>68</v>
      </c>
      <c r="I19" s="30" t="s">
        <v>81</v>
      </c>
      <c r="J19" s="30" t="s">
        <v>87</v>
      </c>
      <c r="K19" s="31">
        <v>1230</v>
      </c>
      <c r="L19" s="32"/>
      <c r="M19" s="33"/>
    </row>
    <row r="20" spans="1:13" ht="40.15" customHeight="1" x14ac:dyDescent="0.35">
      <c r="A20" s="28"/>
      <c r="B20" s="29"/>
      <c r="C20" s="30"/>
      <c r="D20" s="30"/>
      <c r="E20" s="30"/>
      <c r="F20" s="30" t="s">
        <v>44</v>
      </c>
      <c r="G20" s="30" t="s">
        <v>50</v>
      </c>
      <c r="H20" s="30" t="s">
        <v>68</v>
      </c>
      <c r="I20" s="30" t="s">
        <v>82</v>
      </c>
      <c r="J20" s="30" t="s">
        <v>87</v>
      </c>
      <c r="K20" s="31">
        <v>880</v>
      </c>
      <c r="L20" s="32"/>
      <c r="M20" s="33"/>
    </row>
    <row r="21" spans="1:13" ht="40.15" customHeight="1" x14ac:dyDescent="0.35">
      <c r="A21" s="28"/>
      <c r="B21" s="29"/>
      <c r="C21" s="30"/>
      <c r="D21" s="30"/>
      <c r="E21" s="30"/>
      <c r="F21" s="30"/>
      <c r="G21" s="30"/>
      <c r="H21" s="30"/>
      <c r="I21" s="30"/>
      <c r="J21" s="30"/>
      <c r="K21" s="31"/>
      <c r="L21" s="32"/>
      <c r="M21" s="33"/>
    </row>
    <row r="22" spans="1:13" ht="40.15" customHeight="1" x14ac:dyDescent="0.35">
      <c r="A22" s="28" t="s">
        <v>174</v>
      </c>
      <c r="B22" s="29" t="s">
        <v>17</v>
      </c>
      <c r="C22" s="30">
        <v>3</v>
      </c>
      <c r="D22" s="30" t="s">
        <v>173</v>
      </c>
      <c r="E22" s="30" t="s">
        <v>21</v>
      </c>
      <c r="F22" s="30" t="s">
        <v>40</v>
      </c>
      <c r="G22" s="30" t="s">
        <v>51</v>
      </c>
      <c r="H22" s="30" t="s">
        <v>70</v>
      </c>
      <c r="I22" s="30" t="s">
        <v>83</v>
      </c>
      <c r="J22" s="30" t="s">
        <v>87</v>
      </c>
      <c r="K22" s="31">
        <v>2305</v>
      </c>
      <c r="L22" s="32" t="s">
        <v>178</v>
      </c>
      <c r="M22" s="33">
        <v>0.1</v>
      </c>
    </row>
    <row r="23" spans="1:13" ht="40.15" customHeight="1" x14ac:dyDescent="0.35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 t="s">
        <v>177</v>
      </c>
      <c r="M23" s="33"/>
    </row>
    <row r="24" spans="1:13" ht="40.15" customHeight="1" x14ac:dyDescent="0.35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/>
      <c r="M24" s="33"/>
    </row>
    <row r="25" spans="1:13" ht="40.15" customHeight="1" x14ac:dyDescent="0.35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.15" customHeight="1" x14ac:dyDescent="0.3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.15" customHeight="1" x14ac:dyDescent="0.3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.15" customHeight="1" thickBot="1" x14ac:dyDescent="0.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.15" customHeight="1" thickTop="1" thickBot="1" x14ac:dyDescent="0.4">
      <c r="A29" s="49" t="s">
        <v>156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1"/>
    </row>
    <row r="30" spans="1:13" ht="40.15" customHeight="1" thickTop="1" thickBot="1" x14ac:dyDescent="0.35">
      <c r="A30" s="16" t="s">
        <v>157</v>
      </c>
      <c r="B30" s="63" t="s">
        <v>158</v>
      </c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</row>
    <row r="31" spans="1:13" ht="40.15" customHeight="1" thickTop="1" x14ac:dyDescent="0.3">
      <c r="A31" s="17" t="str" cm="1">
        <f t="array" ref="A31:A32">IFERROR(_xlfn.UNIQUE(_xlfn._xlws.FILTER(G13:G28,G13:G28&lt;&gt;"")),"")</f>
        <v>UNSEL</v>
      </c>
      <c r="B31" s="64" t="str">
        <f>IF(A31&lt;&gt;"",_xlfn.XLOOKUP(A31,Colors[Colors],Colors[Description],"",0),"")</f>
        <v>Unselected - No color specifications</v>
      </c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5"/>
    </row>
    <row r="32" spans="1:13" ht="40.15" customHeight="1" x14ac:dyDescent="0.3">
      <c r="A32" s="18" t="str">
        <v>SAP+BTR</v>
      </c>
      <c r="B32" s="66" t="str">
        <f>IF(A32&lt;&gt;"",_xlfn.XLOOKUP(A32,Colors[Colors],Colors[Description],"",0),"")</f>
        <v>Sap and Better: This is a less stringent color sort where the clear cuttings must have at least one sapwood face.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7"/>
    </row>
    <row r="33" spans="1:13" ht="40.15" customHeight="1" x14ac:dyDescent="0.3">
      <c r="A33" s="18"/>
      <c r="B33" s="66" t="str">
        <f>IF(A33&lt;&gt;"",_xlfn.XLOOKUP(A33,Colors[Colors],Colors[Description],"",0),"")</f>
        <v/>
      </c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7"/>
    </row>
    <row r="34" spans="1:13" ht="40.15" customHeight="1" x14ac:dyDescent="0.3">
      <c r="A34" s="18"/>
      <c r="B34" s="66" t="str">
        <f>IF(A34&lt;&gt;"",_xlfn.XLOOKUP(A34,Colors[Colors],Colors[Description],"",0),"")</f>
        <v/>
      </c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7"/>
    </row>
    <row r="35" spans="1:13" ht="40.15" customHeight="1" x14ac:dyDescent="0.3">
      <c r="A35" s="18"/>
      <c r="B35" s="66" t="str">
        <f>IF(A35&lt;&gt;"",_xlfn.XLOOKUP(A35,Colors[Colors],Colors[Description],"",0),"")</f>
        <v/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7"/>
    </row>
    <row r="36" spans="1:13" ht="40.15" customHeight="1" thickBot="1" x14ac:dyDescent="0.35">
      <c r="A36" s="19"/>
      <c r="B36" s="68" t="str">
        <f>IF(A36&lt;&gt;"",_xlfn.XLOOKUP(A36,Colors[Colors],Colors[Description],"",0),"")</f>
        <v/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9"/>
    </row>
    <row r="37" spans="1:13" ht="40.15" customHeight="1" thickTop="1" thickBot="1" x14ac:dyDescent="0.4">
      <c r="A37" s="49" t="s">
        <v>141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1"/>
    </row>
    <row r="38" spans="1:13" ht="40.15" customHeight="1" thickTop="1" x14ac:dyDescent="0.3">
      <c r="A38" s="73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7"/>
    </row>
    <row r="39" spans="1:13" ht="40.15" customHeight="1" x14ac:dyDescent="0.3">
      <c r="A39" s="74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2"/>
    </row>
    <row r="40" spans="1:13" ht="40.15" customHeight="1" x14ac:dyDescent="0.3">
      <c r="A40" s="74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2"/>
    </row>
    <row r="41" spans="1:13" ht="40.15" customHeight="1" thickBot="1" x14ac:dyDescent="0.35">
      <c r="A41" s="74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2"/>
    </row>
    <row r="42" spans="1:13" ht="40.15" customHeight="1" thickTop="1" thickBot="1" x14ac:dyDescent="0.4">
      <c r="A42" s="49" t="s">
        <v>8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1"/>
    </row>
    <row r="43" spans="1:13" ht="40.15" customHeight="1" thickTop="1" thickBot="1" x14ac:dyDescent="0.3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2" t="s">
        <v>6</v>
      </c>
      <c r="G43" s="53"/>
      <c r="H43" s="53"/>
      <c r="I43" s="53"/>
      <c r="J43" s="53"/>
      <c r="K43" s="53"/>
      <c r="L43" s="53"/>
      <c r="M43" s="54"/>
    </row>
    <row r="44" spans="1:13" ht="40.15" customHeight="1" thickTop="1" x14ac:dyDescent="0.3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5"/>
      <c r="G44" s="56"/>
      <c r="H44" s="56"/>
      <c r="I44" s="56"/>
      <c r="J44" s="56"/>
      <c r="K44" s="56"/>
      <c r="L44" s="56"/>
      <c r="M44" s="57"/>
    </row>
    <row r="45" spans="1:13" ht="40.15" customHeight="1" x14ac:dyDescent="0.3">
      <c r="A45" s="44"/>
      <c r="B45" s="30" t="s">
        <v>132</v>
      </c>
      <c r="C45" s="30">
        <v>3</v>
      </c>
      <c r="D45" s="30" t="s">
        <v>96</v>
      </c>
      <c r="E45" s="31">
        <v>500</v>
      </c>
      <c r="F45" s="70"/>
      <c r="G45" s="71"/>
      <c r="H45" s="71"/>
      <c r="I45" s="71"/>
      <c r="J45" s="71"/>
      <c r="K45" s="71"/>
      <c r="L45" s="71"/>
      <c r="M45" s="72"/>
    </row>
    <row r="46" spans="1:13" ht="40.15" customHeight="1" x14ac:dyDescent="0.3">
      <c r="A46" s="44"/>
      <c r="B46" s="30" t="s">
        <v>133</v>
      </c>
      <c r="C46" s="30">
        <v>3</v>
      </c>
      <c r="D46" s="30" t="s">
        <v>102</v>
      </c>
      <c r="E46" s="31">
        <v>450</v>
      </c>
      <c r="F46" s="70"/>
      <c r="G46" s="71"/>
      <c r="H46" s="71"/>
      <c r="I46" s="71"/>
      <c r="J46" s="71"/>
      <c r="K46" s="71"/>
      <c r="L46" s="71"/>
      <c r="M46" s="72"/>
    </row>
    <row r="47" spans="1:13" ht="40.15" customHeight="1" x14ac:dyDescent="0.3">
      <c r="A47" s="44"/>
      <c r="B47" s="30" t="s">
        <v>133</v>
      </c>
      <c r="C47" s="30">
        <v>3</v>
      </c>
      <c r="D47" s="30" t="s">
        <v>97</v>
      </c>
      <c r="E47" s="31">
        <v>450</v>
      </c>
      <c r="F47" s="70"/>
      <c r="G47" s="71"/>
      <c r="H47" s="71"/>
      <c r="I47" s="71"/>
      <c r="J47" s="71"/>
      <c r="K47" s="71"/>
      <c r="L47" s="71"/>
      <c r="M47" s="72"/>
    </row>
    <row r="48" spans="1:13" ht="40.15" customHeight="1" x14ac:dyDescent="0.3">
      <c r="A48" s="44"/>
      <c r="B48" s="30" t="s">
        <v>134</v>
      </c>
      <c r="C48" s="30">
        <v>3</v>
      </c>
      <c r="D48" s="30" t="s">
        <v>101</v>
      </c>
      <c r="E48" s="31">
        <v>425</v>
      </c>
      <c r="F48" s="70"/>
      <c r="G48" s="71"/>
      <c r="H48" s="71"/>
      <c r="I48" s="71"/>
      <c r="J48" s="71"/>
      <c r="K48" s="71"/>
      <c r="L48" s="71"/>
      <c r="M48" s="72"/>
    </row>
    <row r="49" spans="1:13" ht="40.15" customHeight="1" x14ac:dyDescent="0.3">
      <c r="A49" s="44"/>
      <c r="B49" s="30" t="s">
        <v>134</v>
      </c>
      <c r="C49" s="30">
        <v>3</v>
      </c>
      <c r="D49" s="30" t="s">
        <v>98</v>
      </c>
      <c r="E49" s="31">
        <v>425</v>
      </c>
      <c r="F49" s="70"/>
      <c r="G49" s="71"/>
      <c r="H49" s="71"/>
      <c r="I49" s="71"/>
      <c r="J49" s="71"/>
      <c r="K49" s="71"/>
      <c r="L49" s="71"/>
      <c r="M49" s="72"/>
    </row>
    <row r="50" spans="1:13" ht="40.15" customHeight="1" x14ac:dyDescent="0.3">
      <c r="A50" s="44"/>
      <c r="B50" s="30" t="s">
        <v>134</v>
      </c>
      <c r="C50" s="30">
        <v>3</v>
      </c>
      <c r="D50" s="30" t="s">
        <v>104</v>
      </c>
      <c r="E50" s="31">
        <v>400</v>
      </c>
      <c r="F50" s="70"/>
      <c r="G50" s="71"/>
      <c r="H50" s="71"/>
      <c r="I50" s="71"/>
      <c r="J50" s="71"/>
      <c r="K50" s="71"/>
      <c r="L50" s="71"/>
      <c r="M50" s="72"/>
    </row>
    <row r="51" spans="1:13" ht="40.15" customHeight="1" x14ac:dyDescent="0.3">
      <c r="A51" s="44"/>
      <c r="B51" s="30" t="s">
        <v>136</v>
      </c>
      <c r="C51" s="30">
        <v>3</v>
      </c>
      <c r="D51" s="30" t="s">
        <v>100</v>
      </c>
      <c r="E51" s="31">
        <v>350</v>
      </c>
      <c r="F51" s="70" t="s">
        <v>170</v>
      </c>
      <c r="G51" s="71"/>
      <c r="H51" s="71"/>
      <c r="I51" s="71"/>
      <c r="J51" s="71"/>
      <c r="K51" s="71"/>
      <c r="L51" s="71"/>
      <c r="M51" s="72"/>
    </row>
    <row r="52" spans="1:13" ht="40.15" customHeight="1" thickBot="1" x14ac:dyDescent="0.35">
      <c r="A52" s="45"/>
      <c r="B52" s="37"/>
      <c r="C52" s="37"/>
      <c r="D52" s="37"/>
      <c r="E52" s="38"/>
      <c r="F52" s="75"/>
      <c r="G52" s="76"/>
      <c r="H52" s="76"/>
      <c r="I52" s="76"/>
      <c r="J52" s="76"/>
      <c r="K52" s="76"/>
      <c r="L52" s="76"/>
      <c r="M52" s="77"/>
    </row>
    <row r="53" spans="1:13" ht="40.15" customHeight="1" thickTop="1" thickBot="1" x14ac:dyDescent="0.4">
      <c r="A53" s="49" t="s">
        <v>9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1"/>
    </row>
    <row r="54" spans="1:13" ht="40.15" customHeight="1" thickTop="1" thickBot="1" x14ac:dyDescent="0.3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2" t="s">
        <v>6</v>
      </c>
      <c r="G54" s="53"/>
      <c r="H54" s="53"/>
      <c r="I54" s="53"/>
      <c r="J54" s="53"/>
      <c r="K54" s="53"/>
      <c r="L54" s="53"/>
      <c r="M54" s="54"/>
    </row>
    <row r="55" spans="1:13" ht="40.15" customHeight="1" thickTop="1" x14ac:dyDescent="0.3">
      <c r="A55" s="41"/>
      <c r="B55" s="42"/>
      <c r="C55" s="42"/>
      <c r="D55" s="42"/>
      <c r="E55" s="43"/>
      <c r="F55" s="55"/>
      <c r="G55" s="56"/>
      <c r="H55" s="56"/>
      <c r="I55" s="56"/>
      <c r="J55" s="56"/>
      <c r="K55" s="56"/>
      <c r="L55" s="56"/>
      <c r="M55" s="57"/>
    </row>
    <row r="56" spans="1:13" ht="40.15" customHeight="1" x14ac:dyDescent="0.3">
      <c r="A56" s="44"/>
      <c r="B56" s="30"/>
      <c r="C56" s="30"/>
      <c r="D56" s="30"/>
      <c r="E56" s="31"/>
      <c r="F56" s="70"/>
      <c r="G56" s="71"/>
      <c r="H56" s="71"/>
      <c r="I56" s="71"/>
      <c r="J56" s="71"/>
      <c r="K56" s="71"/>
      <c r="L56" s="71"/>
      <c r="M56" s="72"/>
    </row>
    <row r="57" spans="1:13" ht="40.15" customHeight="1" thickBot="1" x14ac:dyDescent="0.35">
      <c r="A57" s="44"/>
      <c r="B57" s="30"/>
      <c r="C57" s="30"/>
      <c r="D57" s="30"/>
      <c r="E57" s="31"/>
      <c r="F57" s="75"/>
      <c r="G57" s="76"/>
      <c r="H57" s="76"/>
      <c r="I57" s="76"/>
      <c r="J57" s="76"/>
      <c r="K57" s="76"/>
      <c r="L57" s="76"/>
      <c r="M57" s="77"/>
    </row>
    <row r="58" spans="1:13" ht="40.15" customHeight="1" thickTop="1" thickBot="1" x14ac:dyDescent="0.4">
      <c r="A58" s="49" t="s">
        <v>19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1"/>
    </row>
    <row r="59" spans="1:13" ht="40.15" customHeight="1" thickTop="1" thickBot="1" x14ac:dyDescent="0.3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2" t="s">
        <v>6</v>
      </c>
      <c r="G59" s="53"/>
      <c r="H59" s="53"/>
      <c r="I59" s="53"/>
      <c r="J59" s="53"/>
      <c r="K59" s="53"/>
      <c r="L59" s="53"/>
      <c r="M59" s="54"/>
    </row>
    <row r="60" spans="1:13" ht="40.15" customHeight="1" thickTop="1" x14ac:dyDescent="0.3">
      <c r="A60" s="41"/>
      <c r="B60" s="42" t="s">
        <v>136</v>
      </c>
      <c r="C60" s="42">
        <v>2</v>
      </c>
      <c r="D60" s="23" t="s">
        <v>11</v>
      </c>
      <c r="E60" s="43">
        <v>225</v>
      </c>
      <c r="F60" s="55"/>
      <c r="G60" s="56"/>
      <c r="H60" s="56"/>
      <c r="I60" s="56"/>
      <c r="J60" s="56"/>
      <c r="K60" s="56"/>
      <c r="L60" s="56"/>
      <c r="M60" s="57"/>
    </row>
    <row r="61" spans="1:13" ht="40.15" customHeight="1" thickBot="1" x14ac:dyDescent="0.35">
      <c r="A61" s="45"/>
      <c r="B61" s="37"/>
      <c r="C61" s="37"/>
      <c r="D61" s="37"/>
      <c r="E61" s="38"/>
      <c r="F61" s="75"/>
      <c r="G61" s="76"/>
      <c r="H61" s="76"/>
      <c r="I61" s="76"/>
      <c r="J61" s="76"/>
      <c r="K61" s="76"/>
      <c r="L61" s="76"/>
      <c r="M61" s="77"/>
    </row>
    <row r="62" spans="1:13" ht="21.75" thickTop="1" x14ac:dyDescent="0.3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  <mergeCell ref="F47:M47"/>
    <mergeCell ref="F59:M59"/>
    <mergeCell ref="F60:M60"/>
    <mergeCell ref="F55:M55"/>
    <mergeCell ref="F56:M56"/>
    <mergeCell ref="F57:M57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5" x14ac:dyDescent="0.25"/>
  <cols>
    <col min="1" max="1" width="11.42578125" bestFit="1" customWidth="1"/>
    <col min="3" max="3" width="20.5703125" bestFit="1" customWidth="1"/>
    <col min="6" max="7" width="14" customWidth="1"/>
    <col min="9" max="9" width="10.85546875" bestFit="1" customWidth="1"/>
    <col min="10" max="10" width="7.5703125" bestFit="1" customWidth="1"/>
    <col min="11" max="11" width="234.28515625" bestFit="1" customWidth="1"/>
    <col min="13" max="13" width="12.7109375" bestFit="1" customWidth="1"/>
    <col min="15" max="15" width="9.28515625" customWidth="1"/>
    <col min="17" max="17" width="12.28515625" bestFit="1" customWidth="1"/>
    <col min="19" max="19" width="9.7109375" customWidth="1"/>
    <col min="21" max="21" width="10" bestFit="1" customWidth="1"/>
    <col min="23" max="23" width="8.7109375" customWidth="1"/>
  </cols>
  <sheetData>
    <row r="1" spans="1:23" x14ac:dyDescent="0.2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2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2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2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5" x14ac:dyDescent="0.2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2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2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30" x14ac:dyDescent="0.2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2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2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2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2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25">
      <c r="M13" t="s">
        <v>72</v>
      </c>
      <c r="O13" t="s">
        <v>91</v>
      </c>
      <c r="U13" t="s">
        <v>130</v>
      </c>
    </row>
    <row r="14" spans="1:23" x14ac:dyDescent="0.25">
      <c r="M14" t="s">
        <v>167</v>
      </c>
      <c r="U14" t="s">
        <v>131</v>
      </c>
    </row>
    <row r="15" spans="1:23" x14ac:dyDescent="0.25">
      <c r="A15" t="s">
        <v>171</v>
      </c>
      <c r="B15" t="s">
        <v>172</v>
      </c>
      <c r="M15" t="s">
        <v>73</v>
      </c>
    </row>
    <row r="16" spans="1:23" x14ac:dyDescent="0.25">
      <c r="M16" t="s">
        <v>168</v>
      </c>
    </row>
    <row r="17" spans="13:13" x14ac:dyDescent="0.25">
      <c r="M17" t="s">
        <v>74</v>
      </c>
    </row>
    <row r="18" spans="13:13" x14ac:dyDescent="0.25">
      <c r="M18" t="s">
        <v>169</v>
      </c>
    </row>
    <row r="19" spans="13:13" x14ac:dyDescent="0.25">
      <c r="M19" t="s">
        <v>75</v>
      </c>
    </row>
    <row r="20" spans="13:13" x14ac:dyDescent="0.2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2026-05-06T18:17:32Z</dcterms:modified>
</cp:coreProperties>
</file>